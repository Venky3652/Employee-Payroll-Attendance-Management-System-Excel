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C79DE188-84FD-4A8A-A1BD-3593617E395A}" xr6:coauthVersionLast="47" xr6:coauthVersionMax="47" xr10:uidLastSave="{00000000-0000-0000-0000-000000000000}"/>
  <bookViews>
    <workbookView xWindow="-120" yWindow="-120" windowWidth="20730" windowHeight="11040" xr2:uid="{57C0B4B2-4580-4004-AD74-AE1552F6A6AA}"/>
  </bookViews>
  <sheets>
    <sheet name="SAV_IT_Department_Attendance" sheetId="1" r:id="rId1"/>
    <sheet name="Candidates_Details" sheetId="3" r:id="rId2"/>
    <sheet name="Payroll_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2" l="1"/>
  <c r="H23" i="2" s="1"/>
  <c r="K21" i="3" a="1"/>
  <c r="K21" i="3" s="1"/>
  <c r="P5" i="3"/>
  <c r="Q5" i="3" s="1"/>
  <c r="P6" i="3"/>
  <c r="Q6" i="3" s="1"/>
  <c r="P7" i="3"/>
  <c r="Q7" i="3" s="1"/>
  <c r="P8" i="3"/>
  <c r="Q8" i="3" s="1"/>
  <c r="P9" i="3"/>
  <c r="Q9" i="3" s="1"/>
  <c r="P10" i="3"/>
  <c r="Q10" i="3" s="1"/>
  <c r="P11" i="3"/>
  <c r="Q11" i="3" s="1"/>
  <c r="P12" i="3"/>
  <c r="Q12" i="3" s="1"/>
  <c r="P4" i="3"/>
  <c r="Q4" i="3" s="1"/>
  <c r="H14" i="2" l="1"/>
  <c r="H15" i="2"/>
  <c r="K15" i="2"/>
  <c r="K12" i="2"/>
  <c r="H12" i="2"/>
  <c r="K14" i="2"/>
  <c r="H16" i="2"/>
  <c r="K16" i="2"/>
  <c r="H22" i="2"/>
  <c r="H20" i="2"/>
  <c r="H21" i="2"/>
  <c r="H19" i="2"/>
  <c r="K20" i="2" s="1"/>
  <c r="R6" i="3" a="1"/>
  <c r="R6" i="3" s="1"/>
  <c r="S6" i="3" s="1"/>
  <c r="R4" i="3" a="1"/>
  <c r="R4" i="3" s="1"/>
  <c r="S4" i="3" s="1"/>
  <c r="S12" i="3"/>
  <c r="R12" i="3" a="1"/>
  <c r="R12" i="3" s="1"/>
  <c r="R9" i="3" a="1"/>
  <c r="R9" i="3" s="1"/>
  <c r="S9" i="3" s="1"/>
  <c r="R5" i="3" a="1"/>
  <c r="R5" i="3" s="1"/>
  <c r="R10" i="3" a="1"/>
  <c r="R10" i="3" s="1"/>
  <c r="S10" i="3"/>
  <c r="R11" i="3" a="1"/>
  <c r="R11" i="3" s="1"/>
  <c r="R8" i="3" a="1"/>
  <c r="R8" i="3" s="1"/>
  <c r="S8" i="3" s="1"/>
  <c r="R7" i="3" a="1"/>
  <c r="R7" i="3" s="1"/>
  <c r="S7" i="3" s="1"/>
  <c r="T10" i="3" l="1"/>
  <c r="H25" i="2"/>
  <c r="T8" i="3"/>
  <c r="T9" i="3"/>
  <c r="U10" i="3"/>
  <c r="V10" i="3"/>
  <c r="W10" i="3" s="1"/>
  <c r="T4" i="3"/>
  <c r="T12" i="3"/>
  <c r="T7" i="3"/>
  <c r="S11" i="3"/>
  <c r="T11" i="3" s="1"/>
  <c r="S5" i="3"/>
  <c r="T5" i="3" s="1"/>
  <c r="T6" i="3"/>
  <c r="K21" i="2" l="1"/>
  <c r="U5" i="3"/>
  <c r="V5" i="3"/>
  <c r="W5" i="3" s="1"/>
  <c r="V11" i="3"/>
  <c r="W11" i="3" s="1"/>
  <c r="U11" i="3"/>
  <c r="U12" i="3"/>
  <c r="V12" i="3"/>
  <c r="W12" i="3" s="1"/>
  <c r="K19" i="2" s="1"/>
  <c r="U9" i="3"/>
  <c r="V9" i="3"/>
  <c r="W9" i="3" s="1"/>
  <c r="U6" i="3"/>
  <c r="V6" i="3"/>
  <c r="W6" i="3" s="1"/>
  <c r="V7" i="3"/>
  <c r="W7" i="3" s="1"/>
  <c r="U7" i="3"/>
  <c r="U4" i="3"/>
  <c r="V4" i="3"/>
  <c r="W4" i="3" s="1"/>
  <c r="V8" i="3"/>
  <c r="W8" i="3" s="1"/>
  <c r="U8" i="3"/>
  <c r="H9" i="2"/>
  <c r="K10" i="2" s="1"/>
  <c r="H10" i="2"/>
  <c r="K9" i="2"/>
  <c r="K8" i="2"/>
  <c r="K25" i="2" l="1"/>
  <c r="G27" i="2" s="1"/>
  <c r="G2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<sst xmlns="http://schemas.openxmlformats.org/spreadsheetml/2006/main" count="444" uniqueCount="121">
  <si>
    <t>Candidate</t>
  </si>
  <si>
    <t>H</t>
  </si>
  <si>
    <t>P</t>
  </si>
  <si>
    <t>A</t>
  </si>
  <si>
    <t>Date</t>
  </si>
  <si>
    <t>Sat</t>
  </si>
  <si>
    <t>Sun</t>
  </si>
  <si>
    <t>Mon</t>
  </si>
  <si>
    <t>Tue</t>
  </si>
  <si>
    <t>Wed</t>
  </si>
  <si>
    <t>Thu</t>
  </si>
  <si>
    <t>Fri</t>
  </si>
  <si>
    <t>Designation</t>
  </si>
  <si>
    <t>Employee Code:</t>
  </si>
  <si>
    <t>Employee Name:</t>
  </si>
  <si>
    <t>Designation:</t>
  </si>
  <si>
    <t>Date of Joining:</t>
  </si>
  <si>
    <t>UAN:</t>
  </si>
  <si>
    <t>PAN#:</t>
  </si>
  <si>
    <t>PAY SLIP OF THE MONTH OF AUGUST 2026</t>
  </si>
  <si>
    <t>Department:</t>
  </si>
  <si>
    <t>Location:</t>
  </si>
  <si>
    <t>Date Of Birth:</t>
  </si>
  <si>
    <t>Bank Account Number:</t>
  </si>
  <si>
    <t>Bank Name:</t>
  </si>
  <si>
    <t>Emp_ID</t>
  </si>
  <si>
    <t>Employee_Name</t>
  </si>
  <si>
    <t>Date_of_Joining</t>
  </si>
  <si>
    <t>PAN_Number</t>
  </si>
  <si>
    <t>Department</t>
  </si>
  <si>
    <t>Date_of_Birth</t>
  </si>
  <si>
    <t>Bank_Account_Number</t>
  </si>
  <si>
    <t>Bank_Name</t>
  </si>
  <si>
    <t>Basic_Salary</t>
  </si>
  <si>
    <t>HRA</t>
  </si>
  <si>
    <t>Conveyance</t>
  </si>
  <si>
    <t>Medical_Allowance</t>
  </si>
  <si>
    <t>Special_Allowance</t>
  </si>
  <si>
    <t>Gross_Salary</t>
  </si>
  <si>
    <t>IT001</t>
  </si>
  <si>
    <t>Arjun Kumar</t>
  </si>
  <si>
    <t>Software Engineer</t>
  </si>
  <si>
    <t>XXXXX0001X</t>
  </si>
  <si>
    <t>IT</t>
  </si>
  <si>
    <t>SBI</t>
  </si>
  <si>
    <t>IT002</t>
  </si>
  <si>
    <t>Priya Sharma</t>
  </si>
  <si>
    <t>Senior Software Engineer</t>
  </si>
  <si>
    <t>XXXXX0002X</t>
  </si>
  <si>
    <t>HDFC Bank</t>
  </si>
  <si>
    <t>IT003</t>
  </si>
  <si>
    <t>Rahul Verma</t>
  </si>
  <si>
    <t>Data Analyst</t>
  </si>
  <si>
    <t>XXXXX0003X</t>
  </si>
  <si>
    <t>ICICI Bank</t>
  </si>
  <si>
    <t>IT004</t>
  </si>
  <si>
    <t>Sneha Reddy</t>
  </si>
  <si>
    <t>Data Scientist</t>
  </si>
  <si>
    <t>XXXXX0004X</t>
  </si>
  <si>
    <t>Axis Bank</t>
  </si>
  <si>
    <t>IT005</t>
  </si>
  <si>
    <t>Kiran Rao</t>
  </si>
  <si>
    <t>DevOps Engineer</t>
  </si>
  <si>
    <t>XXXXX0005X</t>
  </si>
  <si>
    <t>Kotak Bank</t>
  </si>
  <si>
    <t>IT006</t>
  </si>
  <si>
    <t>Meena Patel</t>
  </si>
  <si>
    <t>QA Engineer</t>
  </si>
  <si>
    <t>XXXXX0006X</t>
  </si>
  <si>
    <t>IT007</t>
  </si>
  <si>
    <t>Vikram Singh</t>
  </si>
  <si>
    <t>Tech Lead</t>
  </si>
  <si>
    <t>XXXXX0007X</t>
  </si>
  <si>
    <t>IT009</t>
  </si>
  <si>
    <t>Suresh Babu</t>
  </si>
  <si>
    <t>System Administrator</t>
  </si>
  <si>
    <t>XXXXX0009X</t>
  </si>
  <si>
    <t>IT010</t>
  </si>
  <si>
    <t>Anjali Menon</t>
  </si>
  <si>
    <t>Project Manager</t>
  </si>
  <si>
    <t>XXXXX0010X</t>
  </si>
  <si>
    <t>Earnings</t>
  </si>
  <si>
    <t>INR</t>
  </si>
  <si>
    <t>Deduction</t>
  </si>
  <si>
    <t>Basic_Salary:</t>
  </si>
  <si>
    <t>HRA:</t>
  </si>
  <si>
    <t>Conveyance:</t>
  </si>
  <si>
    <t>Medical_Allowance:</t>
  </si>
  <si>
    <t>Special_Allowance:</t>
  </si>
  <si>
    <t>Professional Tax:</t>
  </si>
  <si>
    <t>Provider Fund:</t>
  </si>
  <si>
    <t>ESI:</t>
  </si>
  <si>
    <t>Total_Gross_Salary:</t>
  </si>
  <si>
    <t>Total_Deductions:</t>
  </si>
  <si>
    <t>Number of Days Worked:</t>
  </si>
  <si>
    <t>Number of Days Absent:</t>
  </si>
  <si>
    <t>Days in Month:</t>
  </si>
  <si>
    <t>Total Days Worked:</t>
  </si>
  <si>
    <t>Salary Details</t>
  </si>
  <si>
    <t>Attendance Details</t>
  </si>
  <si>
    <t>SL</t>
  </si>
  <si>
    <t>NSL</t>
  </si>
  <si>
    <t>Net Salary:</t>
  </si>
  <si>
    <t>-</t>
  </si>
  <si>
    <t>Approved sick Leave:</t>
  </si>
  <si>
    <t>Not Approved sick Leave:</t>
  </si>
  <si>
    <t>Annual Salary</t>
  </si>
  <si>
    <t>Taxable Income</t>
  </si>
  <si>
    <t>Slab Tax</t>
  </si>
  <si>
    <t>87A Rebate</t>
  </si>
  <si>
    <t>Tax After Rebate</t>
  </si>
  <si>
    <t>4% Cess</t>
  </si>
  <si>
    <t>Final Annual Tax</t>
  </si>
  <si>
    <t>Final Monthly Tax</t>
  </si>
  <si>
    <t>Employee Name</t>
  </si>
  <si>
    <t>Bengaluru</t>
  </si>
  <si>
    <t>Take Home Salary:</t>
  </si>
  <si>
    <t>SLV IT PVT. LTD.</t>
  </si>
  <si>
    <t>LBC Tech Knowledge Park,Bhanarggtha Road,Bengaluru,560061.</t>
  </si>
  <si>
    <t>SLV IT PVT. LTD. Candidates Details</t>
  </si>
  <si>
    <t>SLV IT PVT. LTD. Candidates Attendance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</si>
</sst>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2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5"/>
      <color indexed="8"/>
      <name val="Calibri"/>
      <family val="2"/>
      <scheme val="minor"/>
    </font>
    <font>
      <sz val="8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Fill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left" vertical="top"/>
    </xf>
    <xf numFmtId="1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6" fillId="2" borderId="1" xfId="0" applyFont="1" applyFill="1" applyBorder="1"/>
    <xf numFmtId="2" fontId="0" fillId="0" borderId="1" xfId="0" applyNumberFormat="1" applyFill="1" applyBorder="1"/>
    <xf numFmtId="0" fontId="10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0" fillId="0" borderId="6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6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9" fillId="0" borderId="6" xfId="0" applyFont="1" applyFill="1" applyBorder="1" applyAlignment="1">
      <alignment horizontal="center" vertical="top"/>
    </xf>
    <xf numFmtId="0" fontId="9" fillId="0" borderId="9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5D76-9A0D-464B-BEDB-C124490D7959}">
  <sheetPr codeName="Sheet1"/>
  <dimension ref="A1:AF13"/>
  <sheetViews>
    <sheetView tabSelected="1" workbookViewId="0">
      <selection activeCell="F12" sqref="F12"/>
    </sheetView>
  </sheetViews>
  <sheetFormatPr defaultRowHeight="15" x14ac:dyDescent="0.25"/>
  <cols>
    <col min="1" max="1" width="14.140625" customWidth="1"/>
    <col min="2" max="2" width="23.28515625" bestFit="1" customWidth="1"/>
    <col min="3" max="32" width="10.42578125" bestFit="1" customWidth="1"/>
    <col min="33" max="33" width="2.28515625" bestFit="1" customWidth="1"/>
  </cols>
  <sheetData>
    <row r="1" spans="1:32" x14ac:dyDescent="0.25">
      <c r="A1" s="31" t="s">
        <v>120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</row>
    <row r="2" spans="1:32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</row>
    <row r="3" spans="1:32" x14ac:dyDescent="0.25">
      <c r="A3" s="18" t="s">
        <v>4</v>
      </c>
      <c r="B3" s="5">
        <v>46235</v>
      </c>
      <c r="C3" s="5">
        <v>46236</v>
      </c>
      <c r="D3" s="5">
        <v>46237</v>
      </c>
      <c r="E3" s="5">
        <v>46238</v>
      </c>
      <c r="F3" s="5">
        <v>46239</v>
      </c>
      <c r="G3" s="5">
        <v>46240</v>
      </c>
      <c r="H3" s="5">
        <v>46241</v>
      </c>
      <c r="I3" s="5">
        <v>46242</v>
      </c>
      <c r="J3" s="5">
        <v>46243</v>
      </c>
      <c r="K3" s="5">
        <v>46244</v>
      </c>
      <c r="L3" s="5">
        <v>46245</v>
      </c>
      <c r="M3" s="5">
        <v>46246</v>
      </c>
      <c r="N3" s="5">
        <v>46247</v>
      </c>
      <c r="O3" s="5">
        <v>46248</v>
      </c>
      <c r="P3" s="5">
        <v>46249</v>
      </c>
      <c r="Q3" s="5">
        <v>46250</v>
      </c>
      <c r="R3" s="5">
        <v>46251</v>
      </c>
      <c r="S3" s="5">
        <v>46252</v>
      </c>
      <c r="T3" s="5">
        <v>46253</v>
      </c>
      <c r="U3" s="5">
        <v>46254</v>
      </c>
      <c r="V3" s="5">
        <v>46255</v>
      </c>
      <c r="W3" s="5">
        <v>46256</v>
      </c>
      <c r="X3" s="5">
        <v>46257</v>
      </c>
      <c r="Y3" s="5">
        <v>46258</v>
      </c>
      <c r="Z3" s="5">
        <v>46259</v>
      </c>
      <c r="AA3" s="5">
        <v>46260</v>
      </c>
      <c r="AB3" s="5">
        <v>46261</v>
      </c>
      <c r="AC3" s="5">
        <v>46262</v>
      </c>
      <c r="AD3" s="5">
        <v>46263</v>
      </c>
      <c r="AE3" s="5">
        <v>46264</v>
      </c>
      <c r="AF3" s="5">
        <v>46265</v>
      </c>
    </row>
    <row r="4" spans="1:32" s="2" customFormat="1" x14ac:dyDescent="0.25">
      <c r="A4" s="3" t="s">
        <v>0</v>
      </c>
      <c r="B4" s="6" t="s">
        <v>5</v>
      </c>
      <c r="C4" s="6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6" t="s">
        <v>5</v>
      </c>
      <c r="J4" s="6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6" t="s">
        <v>5</v>
      </c>
      <c r="Q4" s="6" t="s">
        <v>6</v>
      </c>
      <c r="R4" s="3" t="s">
        <v>7</v>
      </c>
      <c r="S4" s="3" t="s">
        <v>8</v>
      </c>
      <c r="T4" s="3" t="s">
        <v>9</v>
      </c>
      <c r="U4" s="3" t="s">
        <v>10</v>
      </c>
      <c r="V4" s="3" t="s">
        <v>11</v>
      </c>
      <c r="W4" s="6" t="s">
        <v>5</v>
      </c>
      <c r="X4" s="6" t="s">
        <v>6</v>
      </c>
      <c r="Y4" s="3" t="s">
        <v>7</v>
      </c>
      <c r="Z4" s="3" t="s">
        <v>8</v>
      </c>
      <c r="AA4" s="3" t="s">
        <v>9</v>
      </c>
      <c r="AB4" s="3" t="s">
        <v>10</v>
      </c>
      <c r="AC4" s="3" t="s">
        <v>11</v>
      </c>
      <c r="AD4" s="6" t="s">
        <v>5</v>
      </c>
      <c r="AE4" s="6" t="s">
        <v>6</v>
      </c>
      <c r="AF4" s="3" t="s">
        <v>7</v>
      </c>
    </row>
    <row r="5" spans="1:32" x14ac:dyDescent="0.25">
      <c r="A5" s="1" t="s">
        <v>40</v>
      </c>
      <c r="B5" s="1" t="s">
        <v>1</v>
      </c>
      <c r="C5" s="1" t="s">
        <v>1</v>
      </c>
      <c r="D5" s="1" t="s">
        <v>2</v>
      </c>
      <c r="E5" s="1" t="s">
        <v>2</v>
      </c>
      <c r="F5" s="1" t="s">
        <v>2</v>
      </c>
      <c r="G5" s="1" t="s">
        <v>2</v>
      </c>
      <c r="H5" s="12" t="s">
        <v>3</v>
      </c>
      <c r="I5" s="1" t="s">
        <v>1</v>
      </c>
      <c r="J5" s="1" t="s">
        <v>1</v>
      </c>
      <c r="K5" s="1" t="s">
        <v>2</v>
      </c>
      <c r="L5" s="1" t="s">
        <v>2</v>
      </c>
      <c r="M5" s="14" t="s">
        <v>100</v>
      </c>
      <c r="N5" s="1" t="s">
        <v>2</v>
      </c>
      <c r="O5" s="1" t="s">
        <v>2</v>
      </c>
      <c r="P5" s="1" t="s">
        <v>1</v>
      </c>
      <c r="Q5" s="1" t="s">
        <v>1</v>
      </c>
      <c r="R5" s="1" t="s">
        <v>2</v>
      </c>
      <c r="S5" s="12" t="s">
        <v>3</v>
      </c>
      <c r="T5" s="1" t="s">
        <v>2</v>
      </c>
      <c r="U5" s="1" t="s">
        <v>2</v>
      </c>
      <c r="V5" s="1" t="s">
        <v>2</v>
      </c>
      <c r="W5" s="1" t="s">
        <v>1</v>
      </c>
      <c r="X5" s="1" t="s">
        <v>1</v>
      </c>
      <c r="Y5" s="1" t="s">
        <v>2</v>
      </c>
      <c r="Z5" s="1" t="s">
        <v>2</v>
      </c>
      <c r="AA5" s="1" t="s">
        <v>2</v>
      </c>
      <c r="AB5" s="12" t="s">
        <v>3</v>
      </c>
      <c r="AC5" s="1" t="s">
        <v>2</v>
      </c>
      <c r="AD5" s="1" t="s">
        <v>1</v>
      </c>
      <c r="AE5" s="1" t="s">
        <v>1</v>
      </c>
      <c r="AF5" s="1" t="s">
        <v>2</v>
      </c>
    </row>
    <row r="6" spans="1:32" x14ac:dyDescent="0.25">
      <c r="A6" s="1" t="s">
        <v>46</v>
      </c>
      <c r="B6" s="1" t="s">
        <v>1</v>
      </c>
      <c r="C6" s="1" t="s">
        <v>1</v>
      </c>
      <c r="D6" s="1" t="s">
        <v>2</v>
      </c>
      <c r="E6" s="12" t="s">
        <v>3</v>
      </c>
      <c r="F6" s="1" t="s">
        <v>2</v>
      </c>
      <c r="G6" s="1" t="s">
        <v>2</v>
      </c>
      <c r="H6" s="1" t="s">
        <v>2</v>
      </c>
      <c r="I6" s="1" t="s">
        <v>1</v>
      </c>
      <c r="J6" s="1" t="s">
        <v>1</v>
      </c>
      <c r="K6" s="1" t="s">
        <v>2</v>
      </c>
      <c r="L6" s="1" t="s">
        <v>2</v>
      </c>
      <c r="M6" s="12" t="s">
        <v>3</v>
      </c>
      <c r="N6" s="1" t="s">
        <v>2</v>
      </c>
      <c r="O6" s="1" t="s">
        <v>2</v>
      </c>
      <c r="P6" s="1" t="s">
        <v>1</v>
      </c>
      <c r="Q6" s="1" t="s">
        <v>1</v>
      </c>
      <c r="R6" s="1" t="s">
        <v>2</v>
      </c>
      <c r="S6" s="1" t="s">
        <v>2</v>
      </c>
      <c r="T6" s="14" t="s">
        <v>100</v>
      </c>
      <c r="U6" s="12" t="s">
        <v>3</v>
      </c>
      <c r="V6" s="1" t="s">
        <v>2</v>
      </c>
      <c r="W6" s="1" t="s">
        <v>1</v>
      </c>
      <c r="X6" s="1" t="s">
        <v>1</v>
      </c>
      <c r="Y6" s="1" t="s">
        <v>2</v>
      </c>
      <c r="Z6" s="1" t="s">
        <v>2</v>
      </c>
      <c r="AA6" s="12" t="s">
        <v>3</v>
      </c>
      <c r="AB6" s="1" t="s">
        <v>2</v>
      </c>
      <c r="AC6" s="1" t="s">
        <v>2</v>
      </c>
      <c r="AD6" s="1" t="s">
        <v>1</v>
      </c>
      <c r="AE6" s="1" t="s">
        <v>1</v>
      </c>
      <c r="AF6" s="1" t="s">
        <v>2</v>
      </c>
    </row>
    <row r="7" spans="1:32" x14ac:dyDescent="0.25">
      <c r="A7" s="1" t="s">
        <v>51</v>
      </c>
      <c r="B7" s="1" t="s">
        <v>1</v>
      </c>
      <c r="C7" s="1" t="s">
        <v>1</v>
      </c>
      <c r="D7" s="1" t="s">
        <v>2</v>
      </c>
      <c r="E7" s="1" t="s">
        <v>2</v>
      </c>
      <c r="F7" s="12" t="s">
        <v>3</v>
      </c>
      <c r="G7" s="1" t="s">
        <v>2</v>
      </c>
      <c r="H7" s="1" t="s">
        <v>2</v>
      </c>
      <c r="I7" s="1" t="s">
        <v>1</v>
      </c>
      <c r="J7" s="1" t="s">
        <v>1</v>
      </c>
      <c r="K7" s="1" t="s">
        <v>2</v>
      </c>
      <c r="L7" s="12" t="s">
        <v>3</v>
      </c>
      <c r="M7" s="1" t="s">
        <v>2</v>
      </c>
      <c r="N7" s="1" t="s">
        <v>2</v>
      </c>
      <c r="O7" s="1" t="s">
        <v>2</v>
      </c>
      <c r="P7" s="1" t="s">
        <v>1</v>
      </c>
      <c r="Q7" s="1" t="s">
        <v>1</v>
      </c>
      <c r="R7" s="12" t="s">
        <v>3</v>
      </c>
      <c r="S7" s="1" t="s">
        <v>2</v>
      </c>
      <c r="T7" s="1" t="s">
        <v>2</v>
      </c>
      <c r="U7" s="1" t="s">
        <v>2</v>
      </c>
      <c r="V7" s="1" t="s">
        <v>2</v>
      </c>
      <c r="W7" s="1" t="s">
        <v>1</v>
      </c>
      <c r="X7" s="1" t="s">
        <v>1</v>
      </c>
      <c r="Y7" s="1" t="s">
        <v>2</v>
      </c>
      <c r="Z7" s="12" t="s">
        <v>3</v>
      </c>
      <c r="AA7" s="1" t="s">
        <v>2</v>
      </c>
      <c r="AB7" s="1" t="s">
        <v>2</v>
      </c>
      <c r="AC7" s="1" t="s">
        <v>2</v>
      </c>
      <c r="AD7" s="1" t="s">
        <v>1</v>
      </c>
      <c r="AE7" s="1" t="s">
        <v>1</v>
      </c>
      <c r="AF7" s="1" t="s">
        <v>2</v>
      </c>
    </row>
    <row r="8" spans="1:32" x14ac:dyDescent="0.25">
      <c r="A8" s="1" t="s">
        <v>56</v>
      </c>
      <c r="B8" s="1" t="s">
        <v>1</v>
      </c>
      <c r="C8" s="1" t="s">
        <v>1</v>
      </c>
      <c r="D8" s="12" t="s">
        <v>3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1</v>
      </c>
      <c r="J8" s="1" t="s">
        <v>1</v>
      </c>
      <c r="K8" s="1" t="s">
        <v>2</v>
      </c>
      <c r="L8" s="1" t="s">
        <v>2</v>
      </c>
      <c r="M8" s="1" t="s">
        <v>2</v>
      </c>
      <c r="N8" s="12" t="s">
        <v>3</v>
      </c>
      <c r="O8" s="1" t="s">
        <v>2</v>
      </c>
      <c r="P8" s="1" t="s">
        <v>1</v>
      </c>
      <c r="Q8" s="1" t="s">
        <v>1</v>
      </c>
      <c r="R8" s="1" t="s">
        <v>2</v>
      </c>
      <c r="S8" s="1" t="s">
        <v>2</v>
      </c>
      <c r="T8" s="13" t="s">
        <v>101</v>
      </c>
      <c r="U8" s="1" t="s">
        <v>2</v>
      </c>
      <c r="V8" s="12" t="s">
        <v>3</v>
      </c>
      <c r="W8" s="1" t="s">
        <v>1</v>
      </c>
      <c r="X8" s="1" t="s">
        <v>1</v>
      </c>
      <c r="Y8" s="1" t="s">
        <v>2</v>
      </c>
      <c r="Z8" s="1" t="s">
        <v>2</v>
      </c>
      <c r="AA8" s="1" t="s">
        <v>2</v>
      </c>
      <c r="AB8" s="12" t="s">
        <v>3</v>
      </c>
      <c r="AC8" s="1" t="s">
        <v>2</v>
      </c>
      <c r="AD8" s="1" t="s">
        <v>1</v>
      </c>
      <c r="AE8" s="1" t="s">
        <v>1</v>
      </c>
      <c r="AF8" s="1" t="s">
        <v>2</v>
      </c>
    </row>
    <row r="9" spans="1:32" x14ac:dyDescent="0.25">
      <c r="A9" s="1" t="s">
        <v>61</v>
      </c>
      <c r="B9" s="1" t="s">
        <v>1</v>
      </c>
      <c r="C9" s="1" t="s">
        <v>1</v>
      </c>
      <c r="D9" s="1" t="s">
        <v>2</v>
      </c>
      <c r="E9" s="1" t="s">
        <v>2</v>
      </c>
      <c r="F9" s="1" t="s">
        <v>2</v>
      </c>
      <c r="G9" s="12" t="s">
        <v>3</v>
      </c>
      <c r="H9" s="1" t="s">
        <v>2</v>
      </c>
      <c r="I9" s="1" t="s">
        <v>1</v>
      </c>
      <c r="J9" s="1" t="s">
        <v>1</v>
      </c>
      <c r="K9" s="1" t="s">
        <v>2</v>
      </c>
      <c r="L9" s="1" t="s">
        <v>2</v>
      </c>
      <c r="M9" s="1" t="s">
        <v>2</v>
      </c>
      <c r="N9" s="1" t="s">
        <v>2</v>
      </c>
      <c r="O9" s="12" t="s">
        <v>3</v>
      </c>
      <c r="P9" s="1" t="s">
        <v>1</v>
      </c>
      <c r="Q9" s="1" t="s">
        <v>1</v>
      </c>
      <c r="R9" s="1" t="s">
        <v>2</v>
      </c>
      <c r="S9" s="12" t="s">
        <v>3</v>
      </c>
      <c r="T9" s="1" t="s">
        <v>2</v>
      </c>
      <c r="U9" s="1" t="s">
        <v>2</v>
      </c>
      <c r="V9" s="14" t="s">
        <v>100</v>
      </c>
      <c r="W9" s="1" t="s">
        <v>1</v>
      </c>
      <c r="X9" s="1" t="s">
        <v>1</v>
      </c>
      <c r="Y9" s="1" t="s">
        <v>2</v>
      </c>
      <c r="Z9" s="1" t="s">
        <v>2</v>
      </c>
      <c r="AA9" s="12" t="s">
        <v>3</v>
      </c>
      <c r="AB9" s="1" t="s">
        <v>2</v>
      </c>
      <c r="AC9" s="1" t="s">
        <v>2</v>
      </c>
      <c r="AD9" s="1" t="s">
        <v>1</v>
      </c>
      <c r="AE9" s="1" t="s">
        <v>1</v>
      </c>
      <c r="AF9" s="1" t="s">
        <v>2</v>
      </c>
    </row>
    <row r="10" spans="1:32" x14ac:dyDescent="0.25">
      <c r="A10" s="1" t="s">
        <v>66</v>
      </c>
      <c r="B10" s="1" t="s">
        <v>1</v>
      </c>
      <c r="C10" s="1" t="s">
        <v>1</v>
      </c>
      <c r="D10" s="1" t="s">
        <v>2</v>
      </c>
      <c r="E10" s="1" t="s">
        <v>2</v>
      </c>
      <c r="F10" s="12" t="s">
        <v>3</v>
      </c>
      <c r="G10" s="1" t="s">
        <v>2</v>
      </c>
      <c r="H10" s="1" t="s">
        <v>2</v>
      </c>
      <c r="I10" s="1" t="s">
        <v>1</v>
      </c>
      <c r="J10" s="1" t="s">
        <v>1</v>
      </c>
      <c r="K10" s="12" t="s">
        <v>3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1</v>
      </c>
      <c r="Q10" s="1" t="s">
        <v>1</v>
      </c>
      <c r="R10" s="1" t="s">
        <v>2</v>
      </c>
      <c r="S10" s="1" t="s">
        <v>2</v>
      </c>
      <c r="T10" s="12" t="s">
        <v>3</v>
      </c>
      <c r="U10" s="14" t="s">
        <v>100</v>
      </c>
      <c r="V10" s="1" t="s">
        <v>2</v>
      </c>
      <c r="W10" s="1" t="s">
        <v>1</v>
      </c>
      <c r="X10" s="1" t="s">
        <v>1</v>
      </c>
      <c r="Y10" s="1" t="s">
        <v>2</v>
      </c>
      <c r="Z10" s="12" t="s">
        <v>3</v>
      </c>
      <c r="AA10" s="1" t="s">
        <v>2</v>
      </c>
      <c r="AB10" s="1" t="s">
        <v>2</v>
      </c>
      <c r="AC10" s="1" t="s">
        <v>2</v>
      </c>
      <c r="AD10" s="1" t="s">
        <v>1</v>
      </c>
      <c r="AE10" s="1" t="s">
        <v>1</v>
      </c>
      <c r="AF10" s="1" t="s">
        <v>2</v>
      </c>
    </row>
    <row r="11" spans="1:32" x14ac:dyDescent="0.25">
      <c r="A11" s="1" t="s">
        <v>70</v>
      </c>
      <c r="B11" s="1" t="s">
        <v>1</v>
      </c>
      <c r="C11" s="1" t="s">
        <v>1</v>
      </c>
      <c r="D11" s="1" t="s">
        <v>2</v>
      </c>
      <c r="E11" s="12" t="s">
        <v>3</v>
      </c>
      <c r="F11" s="1" t="s">
        <v>2</v>
      </c>
      <c r="G11" s="1" t="s">
        <v>2</v>
      </c>
      <c r="H11" s="1" t="s">
        <v>2</v>
      </c>
      <c r="I11" s="1" t="s">
        <v>1</v>
      </c>
      <c r="J11" s="1" t="s">
        <v>1</v>
      </c>
      <c r="K11" s="1" t="s">
        <v>2</v>
      </c>
      <c r="L11" s="1" t="s">
        <v>2</v>
      </c>
      <c r="M11" s="12" t="s">
        <v>3</v>
      </c>
      <c r="N11" s="1" t="s">
        <v>2</v>
      </c>
      <c r="O11" s="1" t="s">
        <v>2</v>
      </c>
      <c r="P11" s="1" t="s">
        <v>1</v>
      </c>
      <c r="Q11" s="1" t="s">
        <v>1</v>
      </c>
      <c r="R11" s="12" t="s">
        <v>3</v>
      </c>
      <c r="S11" s="1" t="s">
        <v>2</v>
      </c>
      <c r="T11" s="1" t="s">
        <v>2</v>
      </c>
      <c r="U11" s="1" t="s">
        <v>2</v>
      </c>
      <c r="V11" s="1" t="s">
        <v>2</v>
      </c>
      <c r="W11" s="1" t="s">
        <v>1</v>
      </c>
      <c r="X11" s="1" t="s">
        <v>1</v>
      </c>
      <c r="Y11" s="1" t="s">
        <v>2</v>
      </c>
      <c r="Z11" s="1" t="s">
        <v>2</v>
      </c>
      <c r="AA11" s="1" t="s">
        <v>2</v>
      </c>
      <c r="AB11" s="13" t="s">
        <v>101</v>
      </c>
      <c r="AC11" s="1" t="s">
        <v>2</v>
      </c>
      <c r="AD11" s="1" t="s">
        <v>1</v>
      </c>
      <c r="AE11" s="1" t="s">
        <v>1</v>
      </c>
      <c r="AF11" s="1" t="s">
        <v>2</v>
      </c>
    </row>
    <row r="12" spans="1:32" x14ac:dyDescent="0.25">
      <c r="A12" s="1" t="s">
        <v>74</v>
      </c>
      <c r="B12" s="1" t="s">
        <v>1</v>
      </c>
      <c r="C12" s="1" t="s">
        <v>1</v>
      </c>
      <c r="D12" s="12" t="s">
        <v>3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1</v>
      </c>
      <c r="J12" s="1" t="s">
        <v>1</v>
      </c>
      <c r="K12" s="1" t="s">
        <v>2</v>
      </c>
      <c r="L12" s="1" t="s">
        <v>2</v>
      </c>
      <c r="M12" s="1" t="s">
        <v>2</v>
      </c>
      <c r="N12" s="12" t="s">
        <v>3</v>
      </c>
      <c r="O12" s="1" t="s">
        <v>2</v>
      </c>
      <c r="P12" s="1" t="s">
        <v>1</v>
      </c>
      <c r="Q12" s="1" t="s">
        <v>1</v>
      </c>
      <c r="R12" s="1" t="s">
        <v>2</v>
      </c>
      <c r="S12" s="12" t="s">
        <v>3</v>
      </c>
      <c r="T12" s="1" t="s">
        <v>2</v>
      </c>
      <c r="U12" s="1" t="s">
        <v>2</v>
      </c>
      <c r="V12" s="1" t="s">
        <v>2</v>
      </c>
      <c r="W12" s="1" t="s">
        <v>1</v>
      </c>
      <c r="X12" s="1" t="s">
        <v>1</v>
      </c>
      <c r="Y12" s="1" t="s">
        <v>2</v>
      </c>
      <c r="Z12" s="1" t="s">
        <v>2</v>
      </c>
      <c r="AA12" s="13" t="s">
        <v>101</v>
      </c>
      <c r="AB12" s="1" t="s">
        <v>2</v>
      </c>
      <c r="AC12" s="12" t="s">
        <v>3</v>
      </c>
      <c r="AD12" s="1" t="s">
        <v>1</v>
      </c>
      <c r="AE12" s="1" t="s">
        <v>1</v>
      </c>
      <c r="AF12" s="1" t="s">
        <v>2</v>
      </c>
    </row>
    <row r="13" spans="1:32" x14ac:dyDescent="0.25">
      <c r="A13" s="1" t="s">
        <v>78</v>
      </c>
      <c r="B13" s="1" t="s">
        <v>1</v>
      </c>
      <c r="C13" s="1" t="s">
        <v>1</v>
      </c>
      <c r="D13" s="1" t="s">
        <v>2</v>
      </c>
      <c r="E13" s="1" t="s">
        <v>2</v>
      </c>
      <c r="F13" s="12" t="s">
        <v>3</v>
      </c>
      <c r="G13" s="1" t="s">
        <v>2</v>
      </c>
      <c r="H13" s="1" t="s">
        <v>2</v>
      </c>
      <c r="I13" s="1" t="s">
        <v>1</v>
      </c>
      <c r="J13" s="1" t="s">
        <v>1</v>
      </c>
      <c r="K13" s="1" t="s">
        <v>2</v>
      </c>
      <c r="L13" s="1" t="s">
        <v>2</v>
      </c>
      <c r="M13" s="12" t="s">
        <v>3</v>
      </c>
      <c r="N13" s="1" t="s">
        <v>2</v>
      </c>
      <c r="O13" s="1" t="s">
        <v>2</v>
      </c>
      <c r="P13" s="1" t="s">
        <v>1</v>
      </c>
      <c r="Q13" s="1" t="s">
        <v>1</v>
      </c>
      <c r="R13" s="1" t="s">
        <v>2</v>
      </c>
      <c r="S13" s="1" t="s">
        <v>2</v>
      </c>
      <c r="T13" s="1" t="s">
        <v>2</v>
      </c>
      <c r="U13" s="14" t="s">
        <v>100</v>
      </c>
      <c r="V13" s="1" t="s">
        <v>2</v>
      </c>
      <c r="W13" s="1" t="s">
        <v>1</v>
      </c>
      <c r="X13" s="1" t="s">
        <v>1</v>
      </c>
      <c r="Y13" s="1" t="s">
        <v>2</v>
      </c>
      <c r="Z13" s="12" t="s">
        <v>3</v>
      </c>
      <c r="AA13" s="1" t="s">
        <v>2</v>
      </c>
      <c r="AB13" s="1" t="s">
        <v>2</v>
      </c>
      <c r="AC13" s="1" t="s">
        <v>2</v>
      </c>
      <c r="AD13" s="1" t="s">
        <v>1</v>
      </c>
      <c r="AE13" s="1" t="s">
        <v>1</v>
      </c>
      <c r="AF13" s="12" t="s">
        <v>3</v>
      </c>
    </row>
  </sheetData>
  <mergeCells count="1">
    <mergeCell ref="A1:AF2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2E69-978B-4DC1-B48F-3C5E8DFCF2FE}">
  <sheetPr codeName="Sheet2"/>
  <dimension ref="A1:W21"/>
  <sheetViews>
    <sheetView workbookViewId="0">
      <selection activeCell="F12" sqref="F12"/>
    </sheetView>
  </sheetViews>
  <sheetFormatPr defaultRowHeight="15" x14ac:dyDescent="0.25"/>
  <cols>
    <col min="1" max="1" width="7.7109375" bestFit="1" customWidth="1"/>
    <col min="2" max="3" width="16.28515625" bestFit="1" customWidth="1"/>
    <col min="4" max="4" width="15.42578125" bestFit="1" customWidth="1"/>
    <col min="5" max="5" width="13.28515625" bestFit="1" customWidth="1"/>
    <col min="6" max="6" width="11.7109375" bestFit="1" customWidth="1"/>
    <col min="7" max="7" width="13.42578125" bestFit="1" customWidth="1"/>
    <col min="8" max="8" width="28" customWidth="1"/>
    <col min="9" max="9" width="11.5703125" bestFit="1" customWidth="1"/>
    <col min="10" max="10" width="11.7109375" bestFit="1" customWidth="1"/>
    <col min="11" max="11" width="6" bestFit="1" customWidth="1"/>
    <col min="12" max="12" width="11.7109375" bestFit="1" customWidth="1"/>
    <col min="13" max="13" width="18.7109375" bestFit="1" customWidth="1"/>
    <col min="14" max="14" width="17.85546875" bestFit="1" customWidth="1"/>
    <col min="15" max="15" width="12.28515625" bestFit="1" customWidth="1"/>
    <col min="16" max="16" width="15.7109375" customWidth="1"/>
    <col min="17" max="17" width="15" bestFit="1" customWidth="1"/>
    <col min="19" max="19" width="11" bestFit="1" customWidth="1"/>
    <col min="22" max="22" width="15.5703125" bestFit="1" customWidth="1"/>
    <col min="23" max="23" width="16.7109375" bestFit="1" customWidth="1"/>
  </cols>
  <sheetData>
    <row r="1" spans="1:23" x14ac:dyDescent="0.25">
      <c r="A1" s="31" t="s">
        <v>119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3" s="4" customFormat="1" x14ac:dyDescent="0.25">
      <c r="A3" s="3" t="s">
        <v>25</v>
      </c>
      <c r="B3" s="3" t="s">
        <v>26</v>
      </c>
      <c r="C3" s="3" t="s">
        <v>12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18" t="s">
        <v>106</v>
      </c>
      <c r="Q3" s="18" t="s">
        <v>107</v>
      </c>
      <c r="R3" s="18" t="s">
        <v>108</v>
      </c>
      <c r="S3" s="18" t="s">
        <v>109</v>
      </c>
      <c r="T3" s="18" t="s">
        <v>110</v>
      </c>
      <c r="U3" s="18" t="s">
        <v>111</v>
      </c>
      <c r="V3" s="18" t="s">
        <v>112</v>
      </c>
      <c r="W3" s="18" t="s">
        <v>113</v>
      </c>
    </row>
    <row r="4" spans="1:23" ht="30" x14ac:dyDescent="0.25">
      <c r="A4" s="21" t="s">
        <v>39</v>
      </c>
      <c r="B4" s="21" t="s">
        <v>40</v>
      </c>
      <c r="C4" s="21" t="s">
        <v>41</v>
      </c>
      <c r="D4" s="22">
        <v>44576</v>
      </c>
      <c r="E4" s="21" t="s">
        <v>42</v>
      </c>
      <c r="F4" s="21" t="s">
        <v>43</v>
      </c>
      <c r="G4" s="22">
        <v>35562</v>
      </c>
      <c r="H4" s="23">
        <v>100000000001</v>
      </c>
      <c r="I4" s="21" t="s">
        <v>44</v>
      </c>
      <c r="J4" s="21">
        <v>35000</v>
      </c>
      <c r="K4" s="21">
        <v>14000</v>
      </c>
      <c r="L4" s="21">
        <v>3000</v>
      </c>
      <c r="M4" s="21">
        <v>2000</v>
      </c>
      <c r="N4" s="21">
        <v>6000</v>
      </c>
      <c r="O4" s="21">
        <v>60000</v>
      </c>
      <c r="P4" s="19">
        <f>O4*12</f>
        <v>720000</v>
      </c>
      <c r="Q4" s="19">
        <f>P4-75000</f>
        <v>645000</v>
      </c>
      <c r="R4" s="19" cm="1">
        <f t="array" ref="R4">_xlfn.IFS(Q4&lt;=400000,0,Q4&lt;=800000,(Q4-400000)*5%,Q4&lt;=1200000,20000+(Q4-800000)*10%,Q4&lt;=1600000,60000+(Q4-1200000)*15%,Q4&lt;=2000000,120000+(Q4-1600000)*20%,Q4&lt;=2400000,200000+(Q4-2000000)*25%,Q4&gt;2400000,300000+(Q4-2400000)*30%)</f>
        <v>12250</v>
      </c>
      <c r="S4" s="19">
        <f>IF(Q4&lt;=1200000,MIN(R4,600000),0)</f>
        <v>12250</v>
      </c>
      <c r="T4" s="19">
        <f>R4-S4</f>
        <v>0</v>
      </c>
      <c r="U4" s="19">
        <f>T4*4%</f>
        <v>0</v>
      </c>
      <c r="V4" s="19">
        <f>T4+(T4*4%)</f>
        <v>0</v>
      </c>
      <c r="W4" s="19">
        <f>V4/12</f>
        <v>0</v>
      </c>
    </row>
    <row r="5" spans="1:23" ht="30" x14ac:dyDescent="0.25">
      <c r="A5" s="21" t="s">
        <v>45</v>
      </c>
      <c r="B5" s="21" t="s">
        <v>46</v>
      </c>
      <c r="C5" s="21" t="s">
        <v>47</v>
      </c>
      <c r="D5" s="22">
        <v>44265</v>
      </c>
      <c r="E5" s="21" t="s">
        <v>48</v>
      </c>
      <c r="F5" s="21" t="s">
        <v>43</v>
      </c>
      <c r="G5" s="22">
        <v>34936</v>
      </c>
      <c r="H5" s="23">
        <v>100000000002</v>
      </c>
      <c r="I5" s="21" t="s">
        <v>49</v>
      </c>
      <c r="J5" s="21">
        <v>50000</v>
      </c>
      <c r="K5" s="21">
        <v>20000</v>
      </c>
      <c r="L5" s="21">
        <v>4000</v>
      </c>
      <c r="M5" s="21">
        <v>2500</v>
      </c>
      <c r="N5" s="21">
        <v>8500</v>
      </c>
      <c r="O5" s="21">
        <v>85000</v>
      </c>
      <c r="P5" s="19">
        <f t="shared" ref="P5:P12" si="0">O5*12</f>
        <v>1020000</v>
      </c>
      <c r="Q5" s="19">
        <f t="shared" ref="Q5:Q12" si="1">P5-75000</f>
        <v>945000</v>
      </c>
      <c r="R5" s="19" cm="1">
        <f t="array" ref="R5">_xlfn.IFS(Q5&lt;=400000,0,Q5&lt;=800000,(Q5-400000)*5%,Q5&lt;=1200000,20000+(Q5-800000)*10%,Q5&lt;=1600000,60000+(Q5-1200000)*15%,Q5&lt;=2000000,120000+(Q5-1600000)*20%,Q5&lt;=2400000,200000+(Q5-2000000)*25%,Q5&gt;2400000,300000+(Q5-2400000)*30%)</f>
        <v>34500</v>
      </c>
      <c r="S5" s="19">
        <f t="shared" ref="S5:S12" si="2">IF(Q5&lt;=1200000,MIN(R5,600000),0)</f>
        <v>34500</v>
      </c>
      <c r="T5" s="19">
        <f t="shared" ref="T5:T12" si="3">R5-S5</f>
        <v>0</v>
      </c>
      <c r="U5" s="19">
        <f t="shared" ref="U5:U12" si="4">T5*4%</f>
        <v>0</v>
      </c>
      <c r="V5" s="19">
        <f t="shared" ref="V5:V12" si="5">T5+(T5*4%)</f>
        <v>0</v>
      </c>
      <c r="W5" s="19">
        <f t="shared" ref="W5:W12" si="6">V5/12</f>
        <v>0</v>
      </c>
    </row>
    <row r="6" spans="1:23" x14ac:dyDescent="0.25">
      <c r="A6" s="21" t="s">
        <v>50</v>
      </c>
      <c r="B6" s="21" t="s">
        <v>51</v>
      </c>
      <c r="C6" s="21" t="s">
        <v>52</v>
      </c>
      <c r="D6" s="22">
        <v>45097</v>
      </c>
      <c r="E6" s="21" t="s">
        <v>53</v>
      </c>
      <c r="F6" s="21" t="s">
        <v>43</v>
      </c>
      <c r="G6" s="22">
        <v>36482</v>
      </c>
      <c r="H6" s="23">
        <v>100000000003</v>
      </c>
      <c r="I6" s="21" t="s">
        <v>54</v>
      </c>
      <c r="J6" s="21">
        <v>30000</v>
      </c>
      <c r="K6" s="21">
        <v>12000</v>
      </c>
      <c r="L6" s="21">
        <v>3000</v>
      </c>
      <c r="M6" s="21">
        <v>2000</v>
      </c>
      <c r="N6" s="21">
        <v>5000</v>
      </c>
      <c r="O6" s="21">
        <v>52000</v>
      </c>
      <c r="P6" s="19">
        <f t="shared" si="0"/>
        <v>624000</v>
      </c>
      <c r="Q6" s="19">
        <f t="shared" si="1"/>
        <v>549000</v>
      </c>
      <c r="R6" s="19" cm="1">
        <f t="array" ref="R6">_xlfn.IFS(Q6&lt;=400000,0,Q6&lt;=800000,(Q6-400000)*5%,Q6&lt;=1200000,20000+(Q6-800000)*10%,Q6&lt;=1600000,60000+(Q6-1200000)*15%,Q6&lt;=2000000,120000+(Q6-1600000)*20%,Q6&lt;=2400000,200000+(Q6-2000000)*25%,Q6&gt;2400000,300000+(Q6-2400000)*30%)</f>
        <v>7450</v>
      </c>
      <c r="S6" s="19">
        <f t="shared" si="2"/>
        <v>7450</v>
      </c>
      <c r="T6" s="19">
        <f t="shared" si="3"/>
        <v>0</v>
      </c>
      <c r="U6" s="19">
        <f t="shared" si="4"/>
        <v>0</v>
      </c>
      <c r="V6" s="19">
        <f t="shared" si="5"/>
        <v>0</v>
      </c>
      <c r="W6" s="19">
        <f t="shared" si="6"/>
        <v>0</v>
      </c>
    </row>
    <row r="7" spans="1:23" x14ac:dyDescent="0.25">
      <c r="A7" s="21" t="s">
        <v>55</v>
      </c>
      <c r="B7" s="21" t="s">
        <v>56</v>
      </c>
      <c r="C7" s="21" t="s">
        <v>57</v>
      </c>
      <c r="D7" s="22">
        <v>44079</v>
      </c>
      <c r="E7" s="21" t="s">
        <v>58</v>
      </c>
      <c r="F7" s="21" t="s">
        <v>43</v>
      </c>
      <c r="G7" s="22">
        <v>34372</v>
      </c>
      <c r="H7" s="23">
        <v>100000000004</v>
      </c>
      <c r="I7" s="21" t="s">
        <v>59</v>
      </c>
      <c r="J7" s="21">
        <v>60000</v>
      </c>
      <c r="K7" s="21">
        <v>24000</v>
      </c>
      <c r="L7" s="21">
        <v>5000</v>
      </c>
      <c r="M7" s="21">
        <v>3000</v>
      </c>
      <c r="N7" s="21">
        <v>13000</v>
      </c>
      <c r="O7" s="21">
        <v>105000</v>
      </c>
      <c r="P7" s="19">
        <f t="shared" si="0"/>
        <v>1260000</v>
      </c>
      <c r="Q7" s="19">
        <f t="shared" si="1"/>
        <v>1185000</v>
      </c>
      <c r="R7" s="19" cm="1">
        <f t="array" ref="R7">_xlfn.IFS(Q7&lt;=400000,0,Q7&lt;=800000,(Q7-400000)*5%,Q7&lt;=1200000,20000+(Q7-800000)*10%,Q7&lt;=1600000,60000+(Q7-1200000)*15%,Q7&lt;=2000000,120000+(Q7-1600000)*20%,Q7&lt;=2400000,200000+(Q7-2000000)*25%,Q7&gt;2400000,300000+(Q7-2400000)*30%)</f>
        <v>58500</v>
      </c>
      <c r="S7" s="19">
        <f t="shared" si="2"/>
        <v>58500</v>
      </c>
      <c r="T7" s="19">
        <f t="shared" si="3"/>
        <v>0</v>
      </c>
      <c r="U7" s="19">
        <f t="shared" si="4"/>
        <v>0</v>
      </c>
      <c r="V7" s="19">
        <f t="shared" si="5"/>
        <v>0</v>
      </c>
      <c r="W7" s="19">
        <f t="shared" si="6"/>
        <v>0</v>
      </c>
    </row>
    <row r="8" spans="1:23" x14ac:dyDescent="0.25">
      <c r="A8" s="21" t="s">
        <v>60</v>
      </c>
      <c r="B8" s="21" t="s">
        <v>61</v>
      </c>
      <c r="C8" s="21" t="s">
        <v>62</v>
      </c>
      <c r="D8" s="22">
        <v>44604</v>
      </c>
      <c r="E8" s="21" t="s">
        <v>63</v>
      </c>
      <c r="F8" s="21" t="s">
        <v>43</v>
      </c>
      <c r="G8" s="22">
        <v>35246</v>
      </c>
      <c r="H8" s="23">
        <v>100000000005</v>
      </c>
      <c r="I8" s="21" t="s">
        <v>64</v>
      </c>
      <c r="J8" s="21">
        <v>45000</v>
      </c>
      <c r="K8" s="21">
        <v>18000</v>
      </c>
      <c r="L8" s="21">
        <v>4000</v>
      </c>
      <c r="M8" s="21">
        <v>2500</v>
      </c>
      <c r="N8" s="21">
        <v>7500</v>
      </c>
      <c r="O8" s="21">
        <v>77000</v>
      </c>
      <c r="P8" s="19">
        <f t="shared" si="0"/>
        <v>924000</v>
      </c>
      <c r="Q8" s="19">
        <f t="shared" si="1"/>
        <v>849000</v>
      </c>
      <c r="R8" s="19" cm="1">
        <f t="array" ref="R8">_xlfn.IFS(Q8&lt;=400000,0,Q8&lt;=800000,(Q8-400000)*5%,Q8&lt;=1200000,20000+(Q8-800000)*10%,Q8&lt;=1600000,60000+(Q8-1200000)*15%,Q8&lt;=2000000,120000+(Q8-1600000)*20%,Q8&lt;=2400000,200000+(Q8-2000000)*25%,Q8&gt;2400000,300000+(Q8-2400000)*30%)</f>
        <v>24900</v>
      </c>
      <c r="S8" s="19">
        <f t="shared" si="2"/>
        <v>24900</v>
      </c>
      <c r="T8" s="19">
        <f t="shared" si="3"/>
        <v>0</v>
      </c>
      <c r="U8" s="19">
        <f t="shared" si="4"/>
        <v>0</v>
      </c>
      <c r="V8" s="19">
        <f t="shared" si="5"/>
        <v>0</v>
      </c>
      <c r="W8" s="19">
        <f t="shared" si="6"/>
        <v>0</v>
      </c>
    </row>
    <row r="9" spans="1:23" x14ac:dyDescent="0.25">
      <c r="A9" s="21" t="s">
        <v>65</v>
      </c>
      <c r="B9" s="21" t="s">
        <v>66</v>
      </c>
      <c r="C9" s="21" t="s">
        <v>67</v>
      </c>
      <c r="D9" s="22">
        <v>45125</v>
      </c>
      <c r="E9" s="21" t="s">
        <v>68</v>
      </c>
      <c r="F9" s="21" t="s">
        <v>43</v>
      </c>
      <c r="G9" s="22">
        <v>36052</v>
      </c>
      <c r="H9" s="23">
        <v>100000000006</v>
      </c>
      <c r="I9" s="21" t="s">
        <v>44</v>
      </c>
      <c r="J9" s="21">
        <v>28000</v>
      </c>
      <c r="K9" s="21">
        <v>11200</v>
      </c>
      <c r="L9" s="21">
        <v>2500</v>
      </c>
      <c r="M9" s="21">
        <v>1500</v>
      </c>
      <c r="N9" s="21">
        <v>4800</v>
      </c>
      <c r="O9" s="21">
        <v>48000</v>
      </c>
      <c r="P9" s="19">
        <f t="shared" si="0"/>
        <v>576000</v>
      </c>
      <c r="Q9" s="19">
        <f t="shared" si="1"/>
        <v>501000</v>
      </c>
      <c r="R9" s="19" cm="1">
        <f t="array" ref="R9">_xlfn.IFS(Q9&lt;=400000,0,Q9&lt;=800000,(Q9-400000)*5%,Q9&lt;=1200000,20000+(Q9-800000)*10%,Q9&lt;=1600000,60000+(Q9-1200000)*15%,Q9&lt;=2000000,120000+(Q9-1600000)*20%,Q9&lt;=2400000,200000+(Q9-2000000)*25%,Q9&gt;2400000,300000+(Q9-2400000)*30%)</f>
        <v>5050</v>
      </c>
      <c r="S9" s="19">
        <f t="shared" si="2"/>
        <v>5050</v>
      </c>
      <c r="T9" s="19">
        <f t="shared" si="3"/>
        <v>0</v>
      </c>
      <c r="U9" s="19">
        <f t="shared" si="4"/>
        <v>0</v>
      </c>
      <c r="V9" s="19">
        <f t="shared" si="5"/>
        <v>0</v>
      </c>
      <c r="W9" s="19">
        <f t="shared" si="6"/>
        <v>0</v>
      </c>
    </row>
    <row r="10" spans="1:23" x14ac:dyDescent="0.25">
      <c r="A10" s="21" t="s">
        <v>69</v>
      </c>
      <c r="B10" s="21" t="s">
        <v>70</v>
      </c>
      <c r="C10" s="21" t="s">
        <v>71</v>
      </c>
      <c r="D10" s="22">
        <v>43794</v>
      </c>
      <c r="E10" s="21" t="s">
        <v>72</v>
      </c>
      <c r="F10" s="21" t="s">
        <v>43</v>
      </c>
      <c r="G10" s="22">
        <v>33625</v>
      </c>
      <c r="H10" s="23">
        <v>100000000007</v>
      </c>
      <c r="I10" s="21" t="s">
        <v>49</v>
      </c>
      <c r="J10" s="21">
        <v>75000</v>
      </c>
      <c r="K10" s="21">
        <v>30000</v>
      </c>
      <c r="L10" s="21">
        <v>6000</v>
      </c>
      <c r="M10" s="21">
        <v>3500</v>
      </c>
      <c r="N10" s="21">
        <v>15500</v>
      </c>
      <c r="O10" s="21">
        <v>130000</v>
      </c>
      <c r="P10" s="19">
        <f t="shared" si="0"/>
        <v>1560000</v>
      </c>
      <c r="Q10" s="19">
        <f t="shared" si="1"/>
        <v>1485000</v>
      </c>
      <c r="R10" s="19" cm="1">
        <f t="array" ref="R10">_xlfn.IFS(Q10&lt;=400000,0,Q10&lt;=800000,(Q10-400000)*5%,Q10&lt;=1200000,20000+(Q10-800000)*10%,Q10&lt;=1600000,60000+(Q10-1200000)*15%,Q10&lt;=2000000,120000+(Q10-1600000)*20%,Q10&lt;=2400000,200000+(Q10-2000000)*25%,Q10&gt;2400000,300000+(Q10-2400000)*30%)</f>
        <v>102750</v>
      </c>
      <c r="S10" s="19">
        <f t="shared" si="2"/>
        <v>0</v>
      </c>
      <c r="T10" s="19">
        <f t="shared" si="3"/>
        <v>102750</v>
      </c>
      <c r="U10" s="19">
        <f t="shared" si="4"/>
        <v>4110</v>
      </c>
      <c r="V10" s="19">
        <f t="shared" si="5"/>
        <v>106860</v>
      </c>
      <c r="W10" s="19">
        <f t="shared" si="6"/>
        <v>8905</v>
      </c>
    </row>
    <row r="11" spans="1:23" ht="30" x14ac:dyDescent="0.25">
      <c r="A11" s="21" t="s">
        <v>73</v>
      </c>
      <c r="B11" s="21" t="s">
        <v>74</v>
      </c>
      <c r="C11" s="21" t="s">
        <v>75</v>
      </c>
      <c r="D11" s="22">
        <v>44424</v>
      </c>
      <c r="E11" s="21" t="s">
        <v>76</v>
      </c>
      <c r="F11" s="21" t="s">
        <v>43</v>
      </c>
      <c r="G11" s="22">
        <v>34769</v>
      </c>
      <c r="H11" s="23">
        <v>100000000009</v>
      </c>
      <c r="I11" s="21" t="s">
        <v>59</v>
      </c>
      <c r="J11" s="21">
        <v>40000</v>
      </c>
      <c r="K11" s="21">
        <v>16000</v>
      </c>
      <c r="L11" s="21">
        <v>3500</v>
      </c>
      <c r="M11" s="21">
        <v>2000</v>
      </c>
      <c r="N11" s="21">
        <v>6500</v>
      </c>
      <c r="O11" s="21">
        <v>68000</v>
      </c>
      <c r="P11" s="19">
        <f t="shared" si="0"/>
        <v>816000</v>
      </c>
      <c r="Q11" s="19">
        <f t="shared" si="1"/>
        <v>741000</v>
      </c>
      <c r="R11" s="19" cm="1">
        <f t="array" ref="R11">_xlfn.IFS(Q11&lt;=400000,0,Q11&lt;=800000,(Q11-400000)*5%,Q11&lt;=1200000,20000+(Q11-800000)*10%,Q11&lt;=1600000,60000+(Q11-1200000)*15%,Q11&lt;=2000000,120000+(Q11-1600000)*20%,Q11&lt;=2400000,200000+(Q11-2000000)*25%,Q11&gt;2400000,300000+(Q11-2400000)*30%)</f>
        <v>17050</v>
      </c>
      <c r="S11" s="19">
        <f t="shared" si="2"/>
        <v>17050</v>
      </c>
      <c r="T11" s="19">
        <f t="shared" si="3"/>
        <v>0</v>
      </c>
      <c r="U11" s="19">
        <f t="shared" si="4"/>
        <v>0</v>
      </c>
      <c r="V11" s="19">
        <f t="shared" si="5"/>
        <v>0</v>
      </c>
      <c r="W11" s="19">
        <f t="shared" si="6"/>
        <v>0</v>
      </c>
    </row>
    <row r="12" spans="1:23" x14ac:dyDescent="0.25">
      <c r="A12" s="21" t="s">
        <v>77</v>
      </c>
      <c r="B12" s="21" t="s">
        <v>78</v>
      </c>
      <c r="C12" s="21" t="s">
        <v>79</v>
      </c>
      <c r="D12" s="22">
        <v>43103</v>
      </c>
      <c r="E12" s="21" t="s">
        <v>80</v>
      </c>
      <c r="F12" s="21" t="s">
        <v>43</v>
      </c>
      <c r="G12" s="22">
        <v>33082</v>
      </c>
      <c r="H12" s="23">
        <v>100000000010</v>
      </c>
      <c r="I12" s="21" t="s">
        <v>64</v>
      </c>
      <c r="J12" s="21">
        <v>85000</v>
      </c>
      <c r="K12" s="21">
        <v>34000</v>
      </c>
      <c r="L12" s="21">
        <v>7000</v>
      </c>
      <c r="M12" s="21">
        <v>4000</v>
      </c>
      <c r="N12" s="21">
        <v>20000</v>
      </c>
      <c r="O12" s="21">
        <v>150000</v>
      </c>
      <c r="P12" s="19">
        <f t="shared" si="0"/>
        <v>1800000</v>
      </c>
      <c r="Q12" s="19">
        <f t="shared" si="1"/>
        <v>1725000</v>
      </c>
      <c r="R12" s="19" cm="1">
        <f t="array" ref="R12">_xlfn.IFS(Q12&lt;=400000,0,Q12&lt;=800000,(Q12-400000)*5%,Q12&lt;=1200000,20000+(Q12-800000)*10%,Q12&lt;=1600000,60000+(Q12-1200000)*15%,Q12&lt;=2000000,120000+(Q12-1600000)*20%,Q12&lt;=2400000,200000+(Q12-2000000)*25%,Q12&gt;2400000,300000+(Q12-2400000)*30%)</f>
        <v>145000</v>
      </c>
      <c r="S12" s="19">
        <f t="shared" si="2"/>
        <v>0</v>
      </c>
      <c r="T12" s="19">
        <f t="shared" si="3"/>
        <v>145000</v>
      </c>
      <c r="U12" s="19">
        <f t="shared" si="4"/>
        <v>5800</v>
      </c>
      <c r="V12" s="19">
        <f t="shared" si="5"/>
        <v>150800</v>
      </c>
      <c r="W12" s="19">
        <f t="shared" si="6"/>
        <v>12566.666666666666</v>
      </c>
    </row>
    <row r="14" spans="1:23" x14ac:dyDescent="0.25">
      <c r="P14" s="20"/>
    </row>
    <row r="21" spans="11:11" x14ac:dyDescent="0.25">
      <c r="K21" cm="1">
        <f t="array" ref="K21">_xlfn.IFS(
H27*12&lt;=400000,0,
H27*12&lt;=800000,H27*5%,
H27*12&lt;=1200000,H27*10%,
H27*12&lt;=1600000,H27*15%,
H27*12&lt;=2000000,H27*20%,
H27*12&lt;=2400000,H27*25%,
H27*12&gt;2400000,H27*30%
)</f>
        <v>0</v>
      </c>
    </row>
  </sheetData>
  <mergeCells count="1">
    <mergeCell ref="A1:W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7E28-6FF3-420D-A3F9-054DCF9299BB}">
  <sheetPr codeName="Sheet3"/>
  <dimension ref="A1:AG28"/>
  <sheetViews>
    <sheetView topLeftCell="C1" zoomScaleNormal="100" workbookViewId="0">
      <selection activeCell="H12" sqref="H12"/>
    </sheetView>
  </sheetViews>
  <sheetFormatPr defaultRowHeight="15" x14ac:dyDescent="0.25"/>
  <cols>
    <col min="1" max="3" width="9.140625" style="2"/>
    <col min="4" max="4" width="23.42578125" style="2" customWidth="1"/>
    <col min="5" max="5" width="7.28515625" style="2" customWidth="1"/>
    <col min="6" max="6" width="18" style="2" customWidth="1"/>
    <col min="7" max="7" width="17.42578125" style="2" customWidth="1"/>
    <col min="8" max="8" width="16" style="2" customWidth="1"/>
    <col min="9" max="9" width="9.140625" style="2"/>
    <col min="10" max="10" width="28.42578125" style="2" customWidth="1"/>
    <col min="11" max="11" width="15.7109375" style="2" bestFit="1" customWidth="1"/>
    <col min="12" max="13" width="9.140625" style="2"/>
    <col min="14" max="14" width="15" style="2" customWidth="1"/>
    <col min="15" max="16384" width="9.140625" style="2"/>
  </cols>
  <sheetData>
    <row r="1" spans="1:33" x14ac:dyDescent="0.25">
      <c r="A1" s="38"/>
      <c r="B1" s="38"/>
    </row>
    <row r="2" spans="1:33" x14ac:dyDescent="0.25">
      <c r="A2"/>
    </row>
    <row r="3" spans="1:33" x14ac:dyDescent="0.25">
      <c r="A3"/>
      <c r="F3" s="30" t="s">
        <v>117</v>
      </c>
      <c r="G3" s="31"/>
      <c r="H3" s="31"/>
      <c r="I3" s="32"/>
      <c r="J3" s="31"/>
      <c r="K3" s="31"/>
      <c r="T3" s="7"/>
      <c r="AC3" s="7"/>
    </row>
    <row r="4" spans="1:33" x14ac:dyDescent="0.25">
      <c r="A4"/>
      <c r="F4" s="32"/>
      <c r="G4" s="31"/>
      <c r="H4" s="31"/>
      <c r="I4" s="31"/>
      <c r="J4" s="31"/>
      <c r="K4" s="31"/>
      <c r="N4" s="28" t="s">
        <v>114</v>
      </c>
      <c r="V4" s="7"/>
      <c r="AB4" s="7"/>
    </row>
    <row r="5" spans="1:33" x14ac:dyDescent="0.25">
      <c r="A5"/>
      <c r="F5" s="33" t="s">
        <v>118</v>
      </c>
      <c r="G5" s="34"/>
      <c r="H5" s="33"/>
      <c r="I5" s="33"/>
      <c r="J5" s="33"/>
      <c r="K5" s="33"/>
      <c r="M5" s="7"/>
      <c r="N5" s="8" t="s">
        <v>78</v>
      </c>
      <c r="S5" s="7"/>
      <c r="AA5" s="7"/>
    </row>
    <row r="6" spans="1:33" ht="19.5" x14ac:dyDescent="0.3">
      <c r="A6"/>
      <c r="F6" s="35" t="s">
        <v>19</v>
      </c>
      <c r="G6" s="36"/>
      <c r="H6" s="37"/>
      <c r="I6" s="36"/>
      <c r="J6" s="36"/>
      <c r="K6" s="36"/>
      <c r="N6"/>
      <c r="O6"/>
      <c r="P6" s="7"/>
      <c r="T6" s="7"/>
      <c r="AB6" s="7"/>
    </row>
    <row r="7" spans="1:33" ht="19.5" x14ac:dyDescent="0.3">
      <c r="A7"/>
      <c r="F7" s="44" t="s">
        <v>99</v>
      </c>
      <c r="G7" s="45"/>
      <c r="H7" s="45"/>
      <c r="I7" s="45"/>
      <c r="J7" s="45"/>
      <c r="K7" s="46"/>
      <c r="N7"/>
      <c r="O7"/>
      <c r="P7" s="7"/>
      <c r="T7" s="7"/>
      <c r="AB7" s="7"/>
    </row>
    <row r="8" spans="1:33" x14ac:dyDescent="0.25">
      <c r="A8"/>
      <c r="F8" s="40" t="s">
        <v>96</v>
      </c>
      <c r="G8" s="40"/>
      <c r="H8" s="10">
        <v>31</v>
      </c>
      <c r="I8" s="40" t="s">
        <v>104</v>
      </c>
      <c r="J8" s="40"/>
      <c r="K8" s="10">
        <f>COUNTIF(INDEX(SAV_IT_Department_Attendance!$B$5:$AF$13,MATCH(Payroll_Sheet!$H$13,SAV_IT_Department_Attendance!$A$5:$A$13,0),0),"SL")</f>
        <v>1</v>
      </c>
      <c r="P8" s="7"/>
      <c r="T8" s="7"/>
      <c r="AB8" s="7"/>
    </row>
    <row r="9" spans="1:33" x14ac:dyDescent="0.25">
      <c r="A9"/>
      <c r="F9" s="40" t="s">
        <v>94</v>
      </c>
      <c r="G9" s="40"/>
      <c r="H9" s="10">
        <f>COUNTIF(INDEX(SAV_IT_Department_Attendance!$B$5:$AF$13,MATCH(Payroll_Sheet!$H$13,SAV_IT_Department_Attendance!$A$5:$A$13,0),0),"P")</f>
        <v>16</v>
      </c>
      <c r="I9" s="40" t="s">
        <v>105</v>
      </c>
      <c r="J9" s="40"/>
      <c r="K9" s="10">
        <f>COUNTIF(INDEX(SAV_IT_Department_Attendance!$B$5:$AF$13,MATCH(Payroll_Sheet!$H$13,SAV_IT_Department_Attendance!$A$5:$A$13,0),0),"NSL")</f>
        <v>0</v>
      </c>
      <c r="P9" s="7"/>
      <c r="T9" s="7"/>
      <c r="AB9" s="7"/>
    </row>
    <row r="10" spans="1:33" x14ac:dyDescent="0.25">
      <c r="A10"/>
      <c r="F10" s="40" t="s">
        <v>95</v>
      </c>
      <c r="G10" s="40"/>
      <c r="H10" s="10">
        <f>COUNTIF(INDEX(SAV_IT_Department_Attendance!$B$5:$AF$13,MATCH(Payroll_Sheet!$H$13,SAV_IT_Department_Attendance!$A$5:$A$13,0),0),"A")</f>
        <v>4</v>
      </c>
      <c r="I10" s="40" t="s">
        <v>97</v>
      </c>
      <c r="J10" s="40"/>
      <c r="K10" s="10">
        <f>COUNTIF(INDEX(SAV_IT_Department_Attendance!$B$5:$AF$13,MATCH(Payroll_Sheet!$H$13,SAV_IT_Department_Attendance!$A$5:$A$13,0),0),"H")+H9</f>
        <v>26</v>
      </c>
      <c r="P10" s="7"/>
      <c r="T10" s="7"/>
      <c r="AB10" s="7"/>
    </row>
    <row r="11" spans="1:33" ht="19.5" x14ac:dyDescent="0.25">
      <c r="A11"/>
      <c r="F11" s="50" t="s">
        <v>98</v>
      </c>
      <c r="G11" s="51"/>
      <c r="H11" s="51"/>
      <c r="I11" s="51"/>
      <c r="J11" s="51"/>
      <c r="K11" s="52"/>
      <c r="P11" s="7"/>
      <c r="T11" s="7"/>
      <c r="AB11" s="7"/>
    </row>
    <row r="12" spans="1:33" x14ac:dyDescent="0.25">
      <c r="A12"/>
      <c r="F12" s="40" t="s">
        <v>13</v>
      </c>
      <c r="G12" s="40"/>
      <c r="H12" s="8" t="str">
        <f>INDEX(Candidates_Details!A:A,MATCH(Payroll_Sheet!H13,Candidates_Details!B:B,0))</f>
        <v>IT010</v>
      </c>
      <c r="I12" s="40" t="s">
        <v>20</v>
      </c>
      <c r="J12" s="40"/>
      <c r="K12" s="8" t="str">
        <f>INDEX(Candidates_Details!F:F,MATCH(Payroll_Sheet!H13,Candidates_Details!B:B,0))</f>
        <v>IT</v>
      </c>
      <c r="L12" s="7"/>
      <c r="U12" s="7"/>
      <c r="AA12" s="7"/>
    </row>
    <row r="13" spans="1:33" x14ac:dyDescent="0.25">
      <c r="A13"/>
      <c r="F13" s="41" t="s">
        <v>14</v>
      </c>
      <c r="G13" s="41"/>
      <c r="H13" s="17" t="str">
        <f>N5</f>
        <v>Anjali Menon</v>
      </c>
      <c r="I13" s="40" t="s">
        <v>21</v>
      </c>
      <c r="J13" s="40"/>
      <c r="K13" s="8" t="s">
        <v>115</v>
      </c>
      <c r="N13" s="7"/>
      <c r="S13" s="7"/>
      <c r="AC13" s="7"/>
    </row>
    <row r="14" spans="1:33" x14ac:dyDescent="0.25">
      <c r="A14"/>
      <c r="F14" s="40" t="s">
        <v>15</v>
      </c>
      <c r="G14" s="40"/>
      <c r="H14" s="8" t="str">
        <f>INDEX(Candidates_Details!C:C,MATCH(Payroll_Sheet!H13,Candidates_Details!B:B,0))</f>
        <v>Project Manager</v>
      </c>
      <c r="I14" s="41" t="s">
        <v>22</v>
      </c>
      <c r="J14" s="41"/>
      <c r="K14" s="15">
        <f>INDEX(Candidates_Details!G:G,MATCH(Payroll_Sheet!H13,Candidates_Details!B:B,0))</f>
        <v>33082</v>
      </c>
      <c r="M14" s="7"/>
      <c r="V14" s="7"/>
      <c r="Z14" s="7"/>
    </row>
    <row r="15" spans="1:33" x14ac:dyDescent="0.25">
      <c r="A15"/>
      <c r="E15" s="7"/>
      <c r="F15" s="40" t="s">
        <v>16</v>
      </c>
      <c r="G15" s="40"/>
      <c r="H15" s="15">
        <f>INDEX(Candidates_Details!D:D,MATCH(Payroll_Sheet!H13,Candidates_Details!B:B,0))</f>
        <v>43103</v>
      </c>
      <c r="I15" s="40" t="s">
        <v>23</v>
      </c>
      <c r="J15" s="40"/>
      <c r="K15" s="16">
        <f>INDEX(Candidates_Details!H:H,MATCH(Payroll_Sheet!H13,Candidates_Details!B:B,0))</f>
        <v>100000000010</v>
      </c>
      <c r="O15" s="7"/>
      <c r="T15" s="7"/>
      <c r="AB15" s="7"/>
      <c r="AD15" s="7"/>
    </row>
    <row r="16" spans="1:33" x14ac:dyDescent="0.25">
      <c r="A16"/>
      <c r="F16" s="40" t="s">
        <v>18</v>
      </c>
      <c r="G16" s="40"/>
      <c r="H16" s="17" t="str">
        <f>INDEX(Candidates_Details!E:E,MATCH(Payroll_Sheet!H13,Candidates_Details!B:B,0))</f>
        <v>XXXXX0010X</v>
      </c>
      <c r="I16" s="40" t="s">
        <v>24</v>
      </c>
      <c r="J16" s="40"/>
      <c r="K16" s="17" t="str">
        <f>INDEX(Candidates_Details!I:I,MATCH(Payroll_Sheet!H13,Candidates_Details!B:B,0))</f>
        <v>Kotak Bank</v>
      </c>
      <c r="N16" s="7"/>
      <c r="V16" s="7"/>
      <c r="AA16" s="7"/>
      <c r="AG16" s="7"/>
    </row>
    <row r="17" spans="6:11" x14ac:dyDescent="0.25">
      <c r="F17" s="40" t="s">
        <v>17</v>
      </c>
      <c r="G17" s="40"/>
      <c r="H17" s="9" t="s">
        <v>103</v>
      </c>
      <c r="I17" s="39" t="s">
        <v>103</v>
      </c>
      <c r="J17" s="39"/>
      <c r="K17" s="9" t="s">
        <v>103</v>
      </c>
    </row>
    <row r="18" spans="6:11" x14ac:dyDescent="0.25">
      <c r="F18" s="53" t="s">
        <v>81</v>
      </c>
      <c r="G18" s="53"/>
      <c r="H18" s="11" t="s">
        <v>82</v>
      </c>
      <c r="I18" s="53" t="s">
        <v>83</v>
      </c>
      <c r="J18" s="53"/>
      <c r="K18" s="11" t="s">
        <v>82</v>
      </c>
    </row>
    <row r="19" spans="6:11" x14ac:dyDescent="0.25">
      <c r="F19" s="40" t="s">
        <v>84</v>
      </c>
      <c r="G19" s="40"/>
      <c r="H19" s="17">
        <f>VLOOKUP(H13,Candidates_Details!B:J,9,FALSE)</f>
        <v>85000</v>
      </c>
      <c r="I19" s="40" t="s">
        <v>89</v>
      </c>
      <c r="J19" s="40"/>
      <c r="K19" s="8">
        <f>VLOOKUP(H13,Candidates_Details!B:W,22,FALSE)</f>
        <v>12566.666666666666</v>
      </c>
    </row>
    <row r="20" spans="6:11" x14ac:dyDescent="0.25">
      <c r="F20" s="40" t="s">
        <v>85</v>
      </c>
      <c r="G20" s="40"/>
      <c r="H20" s="17">
        <f>VLOOKUP(H13,Candidates_Details!B:K,10,FALSE)</f>
        <v>34000</v>
      </c>
      <c r="I20" s="40" t="s">
        <v>90</v>
      </c>
      <c r="J20" s="40"/>
      <c r="K20" s="8">
        <f>H19*12%</f>
        <v>10200</v>
      </c>
    </row>
    <row r="21" spans="6:11" x14ac:dyDescent="0.25">
      <c r="F21" s="40" t="s">
        <v>86</v>
      </c>
      <c r="G21" s="40"/>
      <c r="H21" s="17">
        <f>VLOOKUP(H13,Candidates_Details!B:L,11,FALSE)</f>
        <v>7000</v>
      </c>
      <c r="I21" s="40" t="s">
        <v>91</v>
      </c>
      <c r="J21" s="40"/>
      <c r="K21" s="8">
        <f>H25*0.75%</f>
        <v>1125</v>
      </c>
    </row>
    <row r="22" spans="6:11" x14ac:dyDescent="0.25">
      <c r="F22" s="40" t="s">
        <v>87</v>
      </c>
      <c r="G22" s="40"/>
      <c r="H22" s="17">
        <f>VLOOKUP(H13,Candidates_Details!B:M,12,FALSE)</f>
        <v>4000</v>
      </c>
      <c r="I22" s="42"/>
      <c r="J22" s="43"/>
      <c r="K22" s="8"/>
    </row>
    <row r="23" spans="6:11" x14ac:dyDescent="0.25">
      <c r="F23" s="40" t="s">
        <v>88</v>
      </c>
      <c r="G23" s="40"/>
      <c r="H23" s="17">
        <f>VLOOKUP(H13,Candidates_Details!B:N,13,FALSE)</f>
        <v>20000</v>
      </c>
      <c r="I23" s="47"/>
      <c r="J23" s="47"/>
      <c r="K23" s="8"/>
    </row>
    <row r="24" spans="6:11" x14ac:dyDescent="0.25">
      <c r="F24" s="48"/>
      <c r="G24" s="49"/>
      <c r="H24" s="8"/>
      <c r="I24" s="42"/>
      <c r="J24" s="43"/>
      <c r="K24" s="8"/>
    </row>
    <row r="25" spans="6:11" x14ac:dyDescent="0.25">
      <c r="F25" s="40" t="s">
        <v>92</v>
      </c>
      <c r="G25" s="40"/>
      <c r="H25" s="8">
        <f>SUM(H19:H23)</f>
        <v>150000</v>
      </c>
      <c r="I25" s="40" t="s">
        <v>93</v>
      </c>
      <c r="J25" s="40"/>
      <c r="K25" s="29">
        <f>(H25-SUM(K19:K21))/31*K10</f>
        <v>105768.27956989249</v>
      </c>
    </row>
    <row r="26" spans="6:11" x14ac:dyDescent="0.25">
      <c r="F26" s="47"/>
      <c r="G26" s="47"/>
      <c r="H26" s="47"/>
      <c r="I26" s="47"/>
      <c r="J26" s="47"/>
      <c r="K26" s="47"/>
    </row>
    <row r="27" spans="6:11" x14ac:dyDescent="0.25">
      <c r="F27" s="54" t="s">
        <v>102</v>
      </c>
      <c r="G27" s="55">
        <f>K25</f>
        <v>105768.27956989249</v>
      </c>
      <c r="H27" s="53"/>
      <c r="I27" s="24"/>
      <c r="J27" s="24"/>
      <c r="K27" s="25"/>
    </row>
    <row r="28" spans="6:11" x14ac:dyDescent="0.25">
      <c r="F28" s="54" t="s">
        <v>116</v>
      </c>
      <c r="G28" s="55">
        <f>G27</f>
        <v>105768.27956989249</v>
      </c>
      <c r="H28" s="53"/>
      <c r="I28" s="26"/>
      <c r="J28" s="26"/>
      <c r="K28" s="27"/>
    </row>
  </sheetData>
  <sheetProtection sheet="1" objects="1" scenarios="1"/>
  <mergeCells count="43">
    <mergeCell ref="G27:H27"/>
    <mergeCell ref="G28:H28"/>
    <mergeCell ref="F9:G9"/>
    <mergeCell ref="F10:G10"/>
    <mergeCell ref="I9:J9"/>
    <mergeCell ref="F8:G8"/>
    <mergeCell ref="I8:J8"/>
    <mergeCell ref="F7:K7"/>
    <mergeCell ref="I10:J10"/>
    <mergeCell ref="F26:K26"/>
    <mergeCell ref="F24:G24"/>
    <mergeCell ref="I24:J24"/>
    <mergeCell ref="F11:K11"/>
    <mergeCell ref="F23:G23"/>
    <mergeCell ref="F25:G25"/>
    <mergeCell ref="I19:J19"/>
    <mergeCell ref="I20:J20"/>
    <mergeCell ref="I21:J21"/>
    <mergeCell ref="I23:J23"/>
    <mergeCell ref="I25:J25"/>
    <mergeCell ref="F18:G18"/>
    <mergeCell ref="I18:J18"/>
    <mergeCell ref="F19:G19"/>
    <mergeCell ref="F20:G20"/>
    <mergeCell ref="F21:G21"/>
    <mergeCell ref="F22:G22"/>
    <mergeCell ref="I22:J22"/>
    <mergeCell ref="F3:K4"/>
    <mergeCell ref="F5:K5"/>
    <mergeCell ref="F6:K6"/>
    <mergeCell ref="A1:B1"/>
    <mergeCell ref="I17:J17"/>
    <mergeCell ref="F12:G12"/>
    <mergeCell ref="F13:G13"/>
    <mergeCell ref="F14:G14"/>
    <mergeCell ref="F15:G15"/>
    <mergeCell ref="F16:G16"/>
    <mergeCell ref="F17:G17"/>
    <mergeCell ref="I12:J12"/>
    <mergeCell ref="I13:J13"/>
    <mergeCell ref="I14:J14"/>
    <mergeCell ref="I15:J15"/>
    <mergeCell ref="I16:J16"/>
  </mergeCells>
  <phoneticPr fontId="8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91DEF5-19D4-43DB-B3F8-7F3ED1195ED5}">
          <x14:formula1>
            <xm:f>SAV_IT_Department_Attendance!$A$5:$A$13</xm:f>
          </x14:formula1>
          <xm:sqref>N5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SAV_IT_Department_Attendance</vt:lpstr>
      <vt:lpstr>Candidates_Details</vt:lpstr>
      <vt:lpstr>Payroll_Sheet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Venkatesh</dc:creator>
  <cp:lastModifiedBy>B Venkatesh</cp:lastModifiedBy>
  <dcterms:created xsi:type="dcterms:W3CDTF">2026-08-24T13:38:12Z</dcterms:created>
  <dcterms:modified xsi:type="dcterms:W3CDTF">2026-08-28T16:29:05Z</dcterms:modified>
</cp:coreProperties>
</file>